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sk Tracker" sheetId="2" state="visible" r:id="rId2"/>
    <sheet name="Workflow &amp; Ru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color rgb="00FFFFFF"/>
      <sz val="10"/>
    </font>
    <font>
      <b val="1"/>
      <color rgb="000A5A61"/>
      <sz val="10"/>
    </font>
    <font>
      <b val="1"/>
      <color rgb="00171A21"/>
      <sz val="22"/>
    </font>
    <font>
      <color rgb="00545C6B"/>
      <sz val="13"/>
    </font>
    <font>
      <b val="1"/>
      <color rgb="005D6675"/>
      <sz val="9.5"/>
    </font>
    <font>
      <b val="1"/>
      <color rgb="005D6675"/>
      <sz val="20"/>
    </font>
    <font>
      <b val="1"/>
      <color rgb="008A5A0E"/>
      <sz val="9.5"/>
    </font>
    <font>
      <b val="1"/>
      <color rgb="008A5A0E"/>
      <sz val="20"/>
    </font>
    <font>
      <b val="1"/>
      <color rgb="006338C0"/>
      <sz val="9.5"/>
    </font>
    <font>
      <b val="1"/>
      <color rgb="006338C0"/>
      <sz val="20"/>
    </font>
    <font>
      <b val="1"/>
      <color rgb="001C7340"/>
      <sz val="9.5"/>
    </font>
    <font>
      <b val="1"/>
      <color rgb="001C7340"/>
      <sz val="20"/>
    </font>
    <font>
      <color rgb="00171A21"/>
      <sz val="10"/>
    </font>
    <font>
      <color rgb="00545C6B"/>
      <sz val="10"/>
    </font>
    <font>
      <i val="1"/>
      <color rgb="00545C6B"/>
      <sz val="9.5"/>
    </font>
    <font>
      <b val="1"/>
      <color rgb="00FFFFFF"/>
      <sz val="15"/>
    </font>
    <font>
      <color rgb="00FFFFFF"/>
      <sz val="9.5"/>
    </font>
    <font>
      <b val="1"/>
      <color rgb="00FFFFFF"/>
      <sz val="10"/>
    </font>
    <font>
      <b val="1"/>
      <color rgb="000A5A61"/>
      <sz val="11"/>
    </font>
    <font>
      <b val="1"/>
      <color rgb="00545C6B"/>
      <sz val="9.5"/>
    </font>
    <font>
      <name val="Consolas"/>
      <color rgb="00545C6B"/>
      <sz val="9"/>
    </font>
    <font>
      <color rgb="00545C6B"/>
      <sz val="9.5"/>
    </font>
    <font>
      <b val="1"/>
      <color rgb="00FFFFFF"/>
      <sz val="12"/>
    </font>
    <font>
      <color rgb="00171A21"/>
      <sz val="10.5"/>
    </font>
    <font>
      <b val="1"/>
      <color rgb="00B04A3A"/>
      <sz val="10"/>
    </font>
    <font>
      <color rgb="00B04A3A"/>
      <sz val="10.5"/>
    </font>
  </fonts>
  <fills count="11">
    <fill>
      <patternFill/>
    </fill>
    <fill>
      <patternFill patternType="gray125"/>
    </fill>
    <fill>
      <patternFill patternType="solid">
        <fgColor rgb="0013343A"/>
      </patternFill>
    </fill>
    <fill>
      <patternFill patternType="solid">
        <fgColor rgb="000E7C86"/>
      </patternFill>
    </fill>
    <fill>
      <patternFill patternType="solid">
        <fgColor rgb="00EDEFF3"/>
      </patternFill>
    </fill>
    <fill>
      <patternFill patternType="solid">
        <fgColor rgb="00FBEDD3"/>
      </patternFill>
    </fill>
    <fill>
      <patternFill patternType="solid">
        <fgColor rgb="00EBE6FB"/>
      </patternFill>
    </fill>
    <fill>
      <patternFill patternType="solid">
        <fgColor rgb="00D8F1E1"/>
      </patternFill>
    </fill>
    <fill>
      <patternFill patternType="solid">
        <fgColor rgb="00F1F3F7"/>
      </patternFill>
    </fill>
    <fill>
      <patternFill patternType="solid">
        <fgColor rgb="000A5A61"/>
      </patternFill>
    </fill>
    <fill>
      <patternFill patternType="solid">
        <fgColor rgb="00DCEFF1"/>
      </patternFill>
    </fill>
  </fills>
  <borders count="5">
    <border>
      <left/>
      <right/>
      <top/>
      <bottom/>
      <diagonal/>
    </border>
    <border>
      <left style="thin">
        <color rgb="00D5DAE1"/>
      </left>
      <right style="thin">
        <color rgb="00D5DAE1"/>
      </right>
      <top style="thin">
        <color rgb="00D5DAE1"/>
      </top>
      <bottom style="thin">
        <color rgb="00D5DAE1"/>
      </bottom>
    </border>
    <border>
      <left/>
      <right/>
      <top style="thin">
        <color rgb="00D5DAE1"/>
      </top>
      <bottom/>
      <diagonal/>
    </border>
    <border>
      <left/>
      <right style="thin">
        <color rgb="00D5DAE1"/>
      </right>
      <top style="thin">
        <color rgb="00D5DAE1"/>
      </top>
      <bottom/>
      <diagonal/>
    </border>
    <border>
      <left/>
      <right style="thin">
        <color rgb="00D5DAE1"/>
      </right>
      <top style="thin">
        <color rgb="00D5DAE1"/>
      </top>
      <bottom style="thin">
        <color rgb="00D5DAE1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3" borderId="0" applyAlignment="1" pivotButton="0" quotePrefix="0" xfId="0">
      <alignment vertical="center" indent="1"/>
    </xf>
    <xf numFmtId="0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14" fillId="0" borderId="1" applyAlignment="1" pivotButton="0" quotePrefix="0" xfId="0">
      <alignment indent="1"/>
    </xf>
    <xf numFmtId="0" fontId="15" fillId="0" borderId="1" applyAlignment="1" pivotButton="0" quotePrefix="0" xfId="0">
      <alignment horizontal="center"/>
    </xf>
    <xf numFmtId="0" fontId="0" fillId="0" borderId="1" pivotButton="0" quotePrefix="0" xfId="0"/>
    <xf numFmtId="0" fontId="16" fillId="8" borderId="0" applyAlignment="1" pivotButton="0" quotePrefix="0" xfId="0">
      <alignment vertical="top" wrapText="1" indent="1"/>
    </xf>
    <xf numFmtId="0" fontId="0" fillId="8" borderId="0" pivotButton="0" quotePrefix="0" xfId="0"/>
    <xf numFmtId="0" fontId="17" fillId="2" borderId="0" applyAlignment="1" pivotButton="0" quotePrefix="0" xfId="0">
      <alignment vertical="center" indent="1"/>
    </xf>
    <xf numFmtId="0" fontId="18" fillId="3" borderId="0" applyAlignment="1" pivotButton="0" quotePrefix="0" xfId="0">
      <alignment vertical="center" indent="1"/>
    </xf>
    <xf numFmtId="0" fontId="19" fillId="9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top" wrapText="1"/>
    </xf>
    <xf numFmtId="0" fontId="21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 indent="1"/>
    </xf>
    <xf numFmtId="0" fontId="22" fillId="0" borderId="1" applyAlignment="1" pivotButton="0" quotePrefix="0" xfId="0">
      <alignment horizontal="left" vertical="top" wrapText="1" indent="1"/>
    </xf>
    <xf numFmtId="0" fontId="23" fillId="0" borderId="1" applyAlignment="1" pivotButton="0" quotePrefix="0" xfId="0">
      <alignment horizontal="left" vertical="top" wrapText="1" indent="1"/>
    </xf>
    <xf numFmtId="0" fontId="17" fillId="3" borderId="0" applyAlignment="1" pivotButton="0" quotePrefix="0" xfId="0">
      <alignment vertical="center" indent="1"/>
    </xf>
    <xf numFmtId="0" fontId="24" fillId="2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center" vertical="top"/>
    </xf>
    <xf numFmtId="0" fontId="25" fillId="0" borderId="0" applyAlignment="1" pivotButton="0" quotePrefix="0" xfId="0">
      <alignment vertical="top" wrapText="1" indent="1"/>
    </xf>
    <xf numFmtId="0" fontId="26" fillId="0" borderId="0" applyAlignment="1" pivotButton="0" quotePrefix="0" xfId="0">
      <alignment horizontal="center" vertical="top"/>
    </xf>
    <xf numFmtId="0" fontId="27" fillId="0" borderId="0" applyAlignment="1" pivotButton="0" quotePrefix="0" xfId="0">
      <alignment vertical="top" wrapText="1" indent="1"/>
    </xf>
    <xf numFmtId="0" fontId="0" fillId="0" borderId="4" pivotButton="0" quotePrefix="0" xfId="0"/>
  </cellXfs>
  <cellStyles count="1">
    <cellStyle name="Normal" xfId="0" builtinId="0" hidden="0"/>
  </cellStyles>
  <dxfs count="4">
    <dxf>
      <font>
        <b val="1"/>
        <color rgb="005D6675"/>
        <sz val="10"/>
      </font>
      <fill>
        <patternFill patternType="solid">
          <fgColor rgb="00EDEFF3"/>
        </patternFill>
      </fill>
    </dxf>
    <dxf>
      <font>
        <b val="1"/>
        <color rgb="008A5A0E"/>
        <sz val="10"/>
      </font>
      <fill>
        <patternFill patternType="solid">
          <fgColor rgb="00FBEDD3"/>
        </patternFill>
      </fill>
    </dxf>
    <dxf>
      <font>
        <b val="1"/>
        <color rgb="006338C0"/>
        <sz val="10"/>
      </font>
      <fill>
        <patternFill patternType="solid">
          <fgColor rgb="00EBE6FB"/>
        </patternFill>
      </fill>
    </dxf>
    <dxf>
      <font>
        <b val="1"/>
        <color rgb="001C7340"/>
        <sz val="10"/>
      </font>
      <fill>
        <patternFill patternType="solid">
          <fgColor rgb="00D8F1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3" customWidth="1" min="7" max="7"/>
  </cols>
  <sheetData>
    <row r="2" ht="34" customHeight="1">
      <c r="B2" s="1" t="inlineStr">
        <is>
          <t>TRACK A — EVENT &amp; TRIGGER PIPELINE</t>
        </is>
      </c>
    </row>
    <row r="3" ht="20" customHeight="1">
      <c r="B3" s="3" t="inlineStr">
        <is>
          <t>Owner: Prasad   ·   Branch: track-a/event-pipeline   ·   Scope: POA 01–07 &amp; 15   ·   Source: 18_Team_Work_Split_and_Git_Workflow.md</t>
        </is>
      </c>
    </row>
    <row r="5">
      <c r="B5" s="5" t="inlineStr">
        <is>
          <t>PROGRESS</t>
        </is>
      </c>
    </row>
    <row r="6" ht="30" customHeight="1">
      <c r="B6" s="6">
        <f>COUNTIF('Task Tracker'!H:H,"merged")&amp;" / "&amp;COUNTA('Task Tracker'!A5:A15)&amp;" merged"</f>
        <v/>
      </c>
      <c r="D6" s="7">
        <f>ROUND(COUNTIF('Task Tracker'!H:H,"merged")/COUNTA('Task Tracker'!A5:A15)*100,0)&amp;"% complete"</f>
        <v/>
      </c>
    </row>
    <row r="8">
      <c r="B8" s="5" t="inlineStr">
        <is>
          <t>BY STATUS</t>
        </is>
      </c>
    </row>
    <row r="9">
      <c r="B9" s="8" t="inlineStr">
        <is>
          <t>Not started</t>
        </is>
      </c>
      <c r="C9" s="9" t="inlineStr">
        <is>
          <t>In progress</t>
        </is>
      </c>
      <c r="D9" s="10" t="inlineStr">
        <is>
          <t>PR open</t>
        </is>
      </c>
      <c r="E9" s="11" t="inlineStr">
        <is>
          <t>Merged</t>
        </is>
      </c>
    </row>
    <row r="10" ht="30" customHeight="1">
      <c r="B10" s="12">
        <f>COUNTIF('Task Tracker'!H:H,"not started")</f>
        <v/>
      </c>
      <c r="C10" s="13">
        <f>COUNTIF('Task Tracker'!H:H,"in progress")</f>
        <v/>
      </c>
      <c r="D10" s="14">
        <f>COUNTIF('Task Tracker'!H:H,"PR open")</f>
        <v/>
      </c>
      <c r="E10" s="15">
        <f>COUNTIF('Task Tracker'!H:H,"merged")</f>
        <v/>
      </c>
    </row>
    <row r="12">
      <c r="B12" s="5" t="inlineStr">
        <is>
          <t>BY GROUP</t>
        </is>
      </c>
    </row>
    <row r="13">
      <c r="B13" s="16" t="inlineStr">
        <is>
          <t>Sprint 0 (S1, S2, S5)</t>
        </is>
      </c>
      <c r="C13" s="17">
        <f>COUNTIFS('Task Tracker'!B:B,"Sprint 0",'Task Tracker'!H:H,"merged")&amp;" / "&amp;COUNTIF('Task Tracker'!B:B,"Sprint 0")&amp;" merged"</f>
        <v/>
      </c>
      <c r="D13" s="36" t="n"/>
    </row>
    <row r="14">
      <c r="B14" s="16" t="inlineStr">
        <is>
          <t>Track A (A1–A8)</t>
        </is>
      </c>
      <c r="C14" s="17">
        <f>COUNTIFS('Task Tracker'!B:B,"Track A",'Task Tracker'!H:H,"merged")&amp;" / "&amp;COUNTIF('Task Tracker'!B:B,"Track A")&amp;" merged"</f>
        <v/>
      </c>
      <c r="D14" s="36" t="n"/>
    </row>
    <row r="16">
      <c r="B16" s="19" t="inlineStr">
        <is>
          <t>Tip: update the Status column on the Task Tracker sheet (dropdown). These figures recalculate automatically. A task is only truly startable once every ID in its "Depends On" is merged.</t>
        </is>
      </c>
    </row>
    <row r="17"/>
  </sheetData>
  <mergeCells count="8">
    <mergeCell ref="B6:C6"/>
    <mergeCell ref="B2:F2"/>
    <mergeCell ref="B16:F17"/>
    <mergeCell ref="B3:F3"/>
    <mergeCell ref="B5:F5"/>
    <mergeCell ref="C14:D14"/>
    <mergeCell ref="C13:D13"/>
    <mergeCell ref="D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7" customWidth="1" min="3" max="3"/>
    <col width="46" customWidth="1" min="4" max="4"/>
    <col width="10" customWidth="1" min="5" max="5"/>
    <col width="13" customWidth="1" min="6" max="6"/>
    <col width="30" customWidth="1" min="7" max="7"/>
    <col width="14" customWidth="1" min="8" max="8"/>
    <col width="52" customWidth="1" min="9" max="9"/>
  </cols>
  <sheetData>
    <row r="1" ht="28" customHeight="1">
      <c r="A1" s="21" t="inlineStr">
        <is>
          <t>TRACK A TASK TRACKER — PRASAD</t>
        </is>
      </c>
    </row>
    <row r="2" ht="18" customHeight="1">
      <c r="A2" s="22" t="inlineStr">
        <is>
          <t>branch: track-a/event-pipeline   ·   status values: not started → in progress → PR open → merged   ·   edit ONLY your A- and Sprint-0 rows in the shared §7 table</t>
        </is>
      </c>
    </row>
    <row r="3"/>
    <row r="4" ht="26" customHeight="1">
      <c r="A4" s="23" t="inlineStr">
        <is>
          <t>Task</t>
        </is>
      </c>
      <c r="B4" s="23" t="inlineStr">
        <is>
          <t>Group</t>
        </is>
      </c>
      <c r="C4" s="23" t="inlineStr">
        <is>
          <t>Order</t>
        </is>
      </c>
      <c r="D4" s="23" t="inlineStr">
        <is>
          <t>Task description</t>
        </is>
      </c>
      <c r="E4" s="23" t="inlineStr">
        <is>
          <t>POA file</t>
        </is>
      </c>
      <c r="F4" s="23" t="inlineStr">
        <is>
          <t>Depends on</t>
        </is>
      </c>
      <c r="G4" s="23" t="inlineStr">
        <is>
          <t>Files touched</t>
        </is>
      </c>
      <c r="H4" s="23" t="inlineStr">
        <is>
          <t>Status</t>
        </is>
      </c>
      <c r="I4" s="23" t="inlineStr">
        <is>
          <t>Notes / caveats</t>
        </is>
      </c>
    </row>
    <row r="5" ht="42" customHeight="1">
      <c r="A5" s="24" t="inlineStr">
        <is>
          <t>S1</t>
        </is>
      </c>
      <c r="B5" s="25" t="inlineStr">
        <is>
          <t>Sprint 0</t>
        </is>
      </c>
      <c r="C5" s="26" t="inlineStr">
        <is>
          <t>1</t>
        </is>
      </c>
      <c r="D5" s="27" t="inlineStr">
        <is>
          <t>Expand taxonomy &amp; stations — 12 vehicle classes, city/suburban, one-way</t>
        </is>
      </c>
      <c r="E5" s="26" t="inlineStr">
        <is>
          <t>POA 16 §16</t>
        </is>
      </c>
      <c r="F5" s="26" t="inlineStr">
        <is>
          <t>—</t>
        </is>
      </c>
      <c r="G5" s="28" t="inlineStr">
        <is>
          <t>generator/world.py; catalogues.py; config.py</t>
        </is>
      </c>
      <c r="H5" s="26" t="inlineStr">
        <is>
          <t>in progress</t>
        </is>
      </c>
      <c r="I5" s="29" t="inlineStr">
        <is>
          <t>Touches generator/models.py (VehicleCategory / LocationType) — announce at day-end; append a bounded, contiguous block.  ||  Implemented 2026-09-01: 12-class taxonomy via additive world pass-3 (golden prices byte-stable vs origin/main), city/suburban + US/USD stations, one-way helpers (allows_one_way/one_way_destinations/one_way_fee) + one_way_booking_share knob. Contract add: models.py LocationType.suburban. Test: tests/test_taxonomy_stations.py (8).</t>
        </is>
      </c>
    </row>
    <row r="6" ht="42" customHeight="1">
      <c r="A6" s="24" t="inlineStr">
        <is>
          <t>S2</t>
        </is>
      </c>
      <c r="B6" s="25" t="inlineStr">
        <is>
          <t>Sprint 0</t>
        </is>
      </c>
      <c r="C6" s="26" t="inlineStr">
        <is>
          <t>2</t>
        </is>
      </c>
      <c r="D6" s="27" t="inlineStr">
        <is>
          <t>Fee completeness — late-return, no-show, fuel + dispute scenarios</t>
        </is>
      </c>
      <c r="E6" s="26" t="inlineStr">
        <is>
          <t>POA 16 §16</t>
        </is>
      </c>
      <c r="F6" s="26" t="inlineStr">
        <is>
          <t>—</t>
        </is>
      </c>
      <c r="G6" s="28" t="inlineStr">
        <is>
          <t>generator/customers.py; durations.py; scenarios.py</t>
        </is>
      </c>
      <c r="H6" s="26" t="inlineStr">
        <is>
          <t>in progress</t>
        </is>
      </c>
      <c r="I6" s="29" t="inlineStr">
        <is>
          <t>New fee fields land in models.py — same append rule.  ||  Implemented 2026-09-01: FeeLine/FeeType/FeeDispute/DisputeResolution + Booking.one_way_fee/fees + BookingStatus.no_show + PolicyTopic.no_show (models.py); one-way + late-return/no-show/fuel fees &amp; disputes in customers.py; late_return_extra_days (durations.py); 5 pinned dispute fixtures FeeDisputeComposer (scenarios.py); fee_rules() SoT (catalogues.py). Test: tests/test_fees_and_disputes.py (7).</t>
        </is>
      </c>
    </row>
    <row r="7" ht="30" customHeight="1">
      <c r="A7" s="24" t="inlineStr">
        <is>
          <t>S5</t>
        </is>
      </c>
      <c r="B7" s="25" t="inlineStr">
        <is>
          <t>Sprint 0</t>
        </is>
      </c>
      <c r="C7" s="26" t="inlineStr">
        <is>
          <t>3</t>
        </is>
      </c>
      <c r="D7" s="27" t="inlineStr">
        <is>
          <t>Load / SLA config knobs — eps, concurrency, mock timeouts</t>
        </is>
      </c>
      <c r="E7" s="26" t="inlineStr">
        <is>
          <t>POA 16 §16</t>
        </is>
      </c>
      <c r="F7" s="26" t="inlineStr">
        <is>
          <t>—</t>
        </is>
      </c>
      <c r="G7" s="28" t="inlineStr">
        <is>
          <t>generator/config.py; volume.py</t>
        </is>
      </c>
      <c r="H7" s="26" t="inlineStr">
        <is>
          <t>in progress</t>
        </is>
      </c>
      <c r="I7" s="29" t="inlineStr">
        <is>
          <t>Implemented 2026-09-01: LoadProfile (10/50/100 eps; 500/1000 concurrent; &lt;2s/&lt;5s SLA; 5s mock timeout) on GenConfig (config.py); VolumeSampler.load_summary + Dataset.load_profile -&gt; config/load_profile.yaml (volume.py/pipeline.py). Test: tests/test_load_config.py (4).</t>
        </is>
      </c>
    </row>
    <row r="8" ht="42" customHeight="1">
      <c r="A8" s="24" t="inlineStr">
        <is>
          <t>A1</t>
        </is>
      </c>
      <c r="B8" s="25" t="inlineStr">
        <is>
          <t>Track A</t>
        </is>
      </c>
      <c r="C8" s="26" t="inlineStr">
        <is>
          <t>4</t>
        </is>
      </c>
      <c r="D8" s="27" t="inlineStr">
        <is>
          <t>Platform skeleton — repo layout, CI, secrets, logging/tracing baseline</t>
        </is>
      </c>
      <c r="E8" s="26" t="inlineStr">
        <is>
          <t>POA 15</t>
        </is>
      </c>
      <c r="F8" s="26" t="inlineStr">
        <is>
          <t>—</t>
        </is>
      </c>
      <c r="G8" s="28" t="inlineStr">
        <is>
          <t>services/platform/</t>
        </is>
      </c>
      <c r="H8" s="26" t="inlineStr">
        <is>
          <t>in progress</t>
        </is>
      </c>
      <c r="I8" s="29" t="inlineStr">
        <is>
          <t>Blocked in practice until the repo-layout question (§8) is agreed and recorded in POA 15.  ||  Delivered 2026-09-01: services/ monorepo ratified (POA/15 §12); services/platform/ template (create_app: structured logging, correlation-id middleware, Prometheus /metrics, OpenTelemetry seam, /healthz+/readyz, error handler, lazy pg/redis/celery factories); booting services/event_pipeline/ app; docker-compose (pg+redis+svc), Dockerfile, GitHub Actions CI (pytest matrix + ruff), .env.example. Test: tests/test_platform_skeleton.py (8).</t>
        </is>
      </c>
    </row>
    <row r="9" ht="30" customHeight="1">
      <c r="A9" s="24" t="inlineStr">
        <is>
          <t>A2</t>
        </is>
      </c>
      <c r="B9" s="25" t="inlineStr">
        <is>
          <t>Track A</t>
        </is>
      </c>
      <c r="C9" s="26" t="inlineStr">
        <is>
          <t>5</t>
        </is>
      </c>
      <c r="D9" s="27" t="inlineStr">
        <is>
          <t>Event Store — Postgres + Redis Streams</t>
        </is>
      </c>
      <c r="E9" s="26" t="inlineStr">
        <is>
          <t>POA 03</t>
        </is>
      </c>
      <c r="F9" s="26" t="inlineStr">
        <is>
          <t>A1</t>
        </is>
      </c>
      <c r="G9" s="28" t="inlineStr">
        <is>
          <t>services/event_pipeline/</t>
        </is>
      </c>
      <c r="H9" s="26" t="inlineStr">
        <is>
          <t>not started</t>
        </is>
      </c>
      <c r="I9" s="29" t="inlineStr"/>
    </row>
    <row r="10" ht="42" customHeight="1">
      <c r="A10" s="24" t="inlineStr">
        <is>
          <t>A6</t>
        </is>
      </c>
      <c r="B10" s="25" t="inlineStr">
        <is>
          <t>Track A</t>
        </is>
      </c>
      <c r="C10" s="26" t="inlineStr">
        <is>
          <t>6</t>
        </is>
      </c>
      <c r="D10" s="27" t="inlineStr">
        <is>
          <t>Frequency Cap &amp; Precedence Engine</t>
        </is>
      </c>
      <c r="E10" s="26" t="inlineStr">
        <is>
          <t>POA 05</t>
        </is>
      </c>
      <c r="F10" s="26" t="inlineStr">
        <is>
          <t>A2</t>
        </is>
      </c>
      <c r="G10" s="28" t="inlineStr">
        <is>
          <t>services/event_pipeline/</t>
        </is>
      </c>
      <c r="H10" s="26" t="inlineStr">
        <is>
          <t>not started</t>
        </is>
      </c>
      <c r="I10" s="29" t="inlineStr">
        <is>
          <t>Build before A5 — the Trigger Engine depends on it.</t>
        </is>
      </c>
    </row>
    <row r="11" ht="30" customHeight="1">
      <c r="A11" s="24" t="inlineStr">
        <is>
          <t>A4</t>
        </is>
      </c>
      <c r="B11" s="25" t="inlineStr">
        <is>
          <t>Track A</t>
        </is>
      </c>
      <c r="C11" s="26" t="inlineStr">
        <is>
          <t>7</t>
        </is>
      </c>
      <c r="D11" s="27" t="inlineStr">
        <is>
          <t>Event Ingestion API (FastAPI)</t>
        </is>
      </c>
      <c r="E11" s="26" t="inlineStr">
        <is>
          <t>POA 02</t>
        </is>
      </c>
      <c r="F11" s="26" t="inlineStr">
        <is>
          <t>A2</t>
        </is>
      </c>
      <c r="G11" s="28" t="inlineStr">
        <is>
          <t>services/event_pipeline/</t>
        </is>
      </c>
      <c r="H11" s="26" t="inlineStr">
        <is>
          <t>not started</t>
        </is>
      </c>
      <c r="I11" s="29" t="inlineStr"/>
    </row>
    <row r="12" ht="42" customHeight="1">
      <c r="A12" s="24" t="inlineStr">
        <is>
          <t>A5</t>
        </is>
      </c>
      <c r="B12" s="25" t="inlineStr">
        <is>
          <t>Track A</t>
        </is>
      </c>
      <c r="C12" s="26" t="inlineStr">
        <is>
          <t>8</t>
        </is>
      </c>
      <c r="D12" s="27" t="inlineStr">
        <is>
          <t>Trigger Evaluation Engine</t>
        </is>
      </c>
      <c r="E12" s="26" t="inlineStr">
        <is>
          <t>POA 04</t>
        </is>
      </c>
      <c r="F12" s="26" t="inlineStr">
        <is>
          <t>A2, A6</t>
        </is>
      </c>
      <c r="G12" s="28" t="inlineStr">
        <is>
          <t>services/event_pipeline/</t>
        </is>
      </c>
      <c r="H12" s="26" t="inlineStr">
        <is>
          <t>not started</t>
        </is>
      </c>
      <c r="I12" s="29" t="inlineStr">
        <is>
          <t>Code against generator/fixtures.py trigger/config defaults until B1 ships persistence.</t>
        </is>
      </c>
    </row>
    <row r="13" ht="42" customHeight="1">
      <c r="A13" s="24" t="inlineStr">
        <is>
          <t>A3</t>
        </is>
      </c>
      <c r="B13" s="25" t="inlineStr">
        <is>
          <t>Track A</t>
        </is>
      </c>
      <c r="C13" s="26" t="inlineStr">
        <is>
          <t>9</t>
        </is>
      </c>
      <c r="D13" s="27" t="inlineStr">
        <is>
          <t>Customer Journey &amp; Behavioural Event Capture (SDK / contract)</t>
        </is>
      </c>
      <c r="E13" s="26" t="inlineStr">
        <is>
          <t>POA 01</t>
        </is>
      </c>
      <c r="F13" s="26" t="inlineStr">
        <is>
          <t>A4 (contract)</t>
        </is>
      </c>
      <c r="G13" s="28" t="inlineStr">
        <is>
          <t>services/event_pipeline/</t>
        </is>
      </c>
      <c r="H13" s="26" t="inlineStr">
        <is>
          <t>not started</t>
        </is>
      </c>
      <c r="I13" s="29" t="inlineStr">
        <is>
          <t>Depends on the A4 contract, not the whole service.</t>
        </is>
      </c>
    </row>
    <row r="14" ht="30" customHeight="1">
      <c r="A14" s="24" t="inlineStr">
        <is>
          <t>A7</t>
        </is>
      </c>
      <c r="B14" s="25" t="inlineStr">
        <is>
          <t>Track A</t>
        </is>
      </c>
      <c r="C14" s="26" t="inlineStr">
        <is>
          <t>10</t>
        </is>
      </c>
      <c r="D14" s="27" t="inlineStr">
        <is>
          <t>Pending-Engagement Queue &amp; Deferred Scheduler (Celery)</t>
        </is>
      </c>
      <c r="E14" s="26" t="inlineStr">
        <is>
          <t>POA 06</t>
        </is>
      </c>
      <c r="F14" s="26" t="inlineStr">
        <is>
          <t>A2, A5</t>
        </is>
      </c>
      <c r="G14" s="28" t="inlineStr">
        <is>
          <t>services/event_pipeline/</t>
        </is>
      </c>
      <c r="H14" s="26" t="inlineStr">
        <is>
          <t>not started</t>
        </is>
      </c>
      <c r="I14" s="29" t="inlineStr"/>
    </row>
    <row r="15" ht="42" customHeight="1">
      <c r="A15" s="24" t="inlineStr">
        <is>
          <t>A8</t>
        </is>
      </c>
      <c r="B15" s="25" t="inlineStr">
        <is>
          <t>Track A</t>
        </is>
      </c>
      <c r="C15" s="26" t="inlineStr">
        <is>
          <t>11</t>
        </is>
      </c>
      <c r="D15" s="27" t="inlineStr">
        <is>
          <t>Human Handoff Manager</t>
        </is>
      </c>
      <c r="E15" s="26" t="inlineStr">
        <is>
          <t>POA 07</t>
        </is>
      </c>
      <c r="F15" s="26" t="inlineStr">
        <is>
          <t>A5</t>
        </is>
      </c>
      <c r="G15" s="28" t="inlineStr">
        <is>
          <t>services/event_pipeline/</t>
        </is>
      </c>
      <c r="H15" s="26" t="inlineStr">
        <is>
          <t>not started</t>
        </is>
      </c>
      <c r="I15" s="29" t="inlineStr">
        <is>
          <t>Keep handoff code THIN around RoutingRule's .match/.route/.sla dicts — B1 will likely turn them into real models.</t>
        </is>
      </c>
    </row>
  </sheetData>
  <mergeCells count="2">
    <mergeCell ref="A1:I1"/>
    <mergeCell ref="A2:I2"/>
  </mergeCells>
  <conditionalFormatting sqref="H5:H15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"PR open"</formula>
    </cfRule>
    <cfRule type="cellIs" priority="4" operator="equal" dxfId="3">
      <formula>"merged"</formula>
    </cfRule>
  </conditionalFormatting>
  <dataValidations count="1">
    <dataValidation sqref="H5:H15" showDropDown="0" showInputMessage="0" showErrorMessage="0" allowBlank="0" errorTitle="Invalid status" error="Pick one: not started / in progress / PR open / merged" promptTitle="Status" prompt="Choose the current status" type="list">
      <formula1>"not started,in progress,PR open,merged"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" customWidth="1" min="2" max="2"/>
    <col width="104" customWidth="1" min="3" max="3"/>
  </cols>
  <sheetData>
    <row r="2" ht="28" customHeight="1">
      <c r="B2" s="30" t="inlineStr">
        <is>
          <t>WORKFLOW &amp; RULES OF ENGAGEMENT</t>
        </is>
      </c>
    </row>
    <row r="4" ht="24" customHeight="1">
      <c r="B4" s="31" t="inlineStr">
        <is>
          <t>Daily git flow (§6)  —  end of day, in this order</t>
        </is>
      </c>
    </row>
    <row r="5" ht="36" customHeight="1">
      <c r="B5" s="32" t="inlineStr">
        <is>
          <t>1</t>
        </is>
      </c>
      <c r="C5" s="33" t="inlineStr">
        <is>
          <t>Merge main into your branch FIRST:  git checkout track-a/event-pipeline → git fetch origin → git merge origin/main. Resolve locally, not as a surprise on GitHub.</t>
        </is>
      </c>
    </row>
    <row r="6" ht="21" customHeight="1">
      <c r="B6" s="32" t="inlineStr">
        <is>
          <t>2</t>
        </is>
      </c>
      <c r="C6" s="33" t="inlineStr">
        <is>
          <t>Push:  git push origin track-a/event-pipeline</t>
        </is>
      </c>
    </row>
    <row r="7" ht="36" customHeight="1">
      <c r="B7" s="32" t="inlineStr">
        <is>
          <t>3</t>
        </is>
      </c>
      <c r="C7" s="33" t="inlineStr">
        <is>
          <t>Open/update the PR into main. Self-review the diff for accidental cross-track file touches, then merge.</t>
        </is>
      </c>
    </row>
    <row r="8" ht="36" customHeight="1">
      <c r="B8" s="32" t="inlineStr">
        <is>
          <t>4</t>
        </is>
      </c>
      <c r="C8" s="33" t="inlineStr">
        <is>
          <t>If you merge SECOND, re-sync so both branches start tomorrow from the same base:  git checkout main &amp;&amp; git pull → merge into your branch → push.</t>
        </is>
      </c>
    </row>
    <row r="9" ht="36" customHeight="1">
      <c r="B9" s="32" t="inlineStr">
        <is>
          <t>→</t>
        </is>
      </c>
      <c r="C9" s="33" t="inlineStr">
        <is>
          <t>Post a 2-line async check-in: which module(s) you advanced + any §5 contract point you touched or need.</t>
        </is>
      </c>
    </row>
    <row r="10" ht="36" customHeight="1">
      <c r="B10" s="34" t="inlineStr">
        <is>
          <t>•</t>
        </is>
      </c>
      <c r="C10" s="35" t="inlineStr">
        <is>
          <t>NEVER force-push. NEVER rebase a branch that's been pushed — use merge (these are long-lived branches).</t>
        </is>
      </c>
    </row>
    <row r="11" ht="36" customHeight="1">
      <c r="B11" s="34" t="inlineStr">
        <is>
          <t>•</t>
        </is>
      </c>
      <c r="C11" s="35" t="inlineStr">
        <is>
          <t>Don't start a Track B module 'just to help' without a heads-up — update the status table instead.</t>
        </is>
      </c>
    </row>
    <row r="13" ht="24" customHeight="1">
      <c r="B13" s="31" t="inlineStr">
        <is>
          <t>Contract points you own (§5)  —  the only real cross-track coupling</t>
        </is>
      </c>
    </row>
    <row r="14" ht="36" customHeight="1">
      <c r="B14" s="32" t="inlineStr">
        <is>
          <t>•</t>
        </is>
      </c>
      <c r="C14" s="33" t="inlineStr">
        <is>
          <t>Event schema (A2/A4 → everyone): lives in generator/models.py. Track B reads it as-is — do NOT silently rename a field.</t>
        </is>
      </c>
    </row>
    <row r="15" ht="36" customHeight="1">
      <c r="B15" s="32" t="inlineStr">
        <is>
          <t>•</t>
        </is>
      </c>
      <c r="C15" s="33" t="inlineStr">
        <is>
          <t>Trigger/config schema (B1 → A5, A6, A8): code Track A against generator/fixtures.py defaults until B1 ships persistence.</t>
        </is>
      </c>
    </row>
    <row r="16" ht="36" customHeight="1">
      <c r="B16" s="32" t="inlineStr">
        <is>
          <t>•</t>
        </is>
      </c>
      <c r="C16" s="33" t="inlineStr">
        <is>
          <t>'Fire' decision → conversation start (A5/A6 → B2): expose as a small Pydantic message/event, not a direct function call.</t>
        </is>
      </c>
    </row>
    <row r="17" ht="21" customHeight="1">
      <c r="B17" s="32" t="inlineStr">
        <is>
          <t>•</t>
        </is>
      </c>
      <c r="C17" s="33" t="inlineStr">
        <is>
          <t>Handoff event (A8 → B6): a message contract, not an in-process call.</t>
        </is>
      </c>
    </row>
    <row r="18" ht="36" customHeight="1">
      <c r="B18" s="32" t="inlineStr">
        <is>
          <t>•</t>
        </is>
      </c>
      <c r="C18" s="33" t="inlineStr">
        <is>
          <t>Whoever needs a contract change adds it to generator/models.py, runs pytest, and says so explicitly at day-end.</t>
        </is>
      </c>
    </row>
    <row r="20" ht="24" customHeight="1">
      <c r="B20" s="31" t="inlineStr">
        <is>
          <t>Shared files  —  announce, don't just push (§2, §4)</t>
        </is>
      </c>
    </row>
    <row r="21" ht="36" customHeight="1">
      <c r="B21" s="34" t="inlineStr">
        <is>
          <t>•</t>
        </is>
      </c>
      <c r="C21" s="35" t="inlineStr">
        <is>
          <t>generator/models.py — the one file both tracks share. Propose field changes at day-end. Adding a field is usually safe; renaming/removing one is NOT.</t>
        </is>
      </c>
    </row>
    <row r="22" ht="36" customHeight="1">
      <c r="B22" s="32" t="inlineStr">
        <is>
          <t>•</t>
        </is>
      </c>
      <c r="C22" s="33" t="inlineStr">
        <is>
          <t>generator/models.py &amp; generator/pipeline.py — append ONE bounded, contiguous block at the end of the relevant section; git merges those cleanly even same-day.</t>
        </is>
      </c>
    </row>
    <row r="23" ht="36" customHeight="1">
      <c r="B23" s="32" t="inlineStr">
        <is>
          <t>•</t>
        </is>
      </c>
      <c r="C23" s="33" t="inlineStr">
        <is>
          <t>tests/conftest.py — keep new fixtures in your OWN test module unless a fixture is genuinely shared.</t>
        </is>
      </c>
    </row>
    <row r="24" ht="36" customHeight="1">
      <c r="B24" s="32" t="inlineStr">
        <is>
          <t>•</t>
        </is>
      </c>
      <c r="C24" s="33" t="inlineStr">
        <is>
          <t>Status table (§7) — edit ONLY your own rows (A-rows + your Sprint-0 rows); append to a Notes cell rather than rewriting it.</t>
        </is>
      </c>
    </row>
    <row r="26" ht="24" customHeight="1">
      <c r="B26" s="31" t="inlineStr">
        <is>
          <t>Open before you start (§8)</t>
        </is>
      </c>
    </row>
    <row r="27" ht="51" customHeight="1">
      <c r="B27" s="34" t="inlineStr">
        <is>
          <t>•</t>
        </is>
      </c>
      <c r="C27" s="35" t="inlineStr">
        <is>
          <t>Repo layout for service code is NOT ratified. This split assumes services/event_pipeline/, services/platform/, services/conversation/. Agree it before A1/B1 start and record the answer in POA 15.</t>
        </is>
      </c>
    </row>
    <row r="28" ht="36" customHeight="1">
      <c r="B28" s="32" t="inlineStr">
        <is>
          <t>•</t>
        </is>
      </c>
      <c r="C28" s="33" t="inlineStr">
        <is>
          <t>Branch protection on main (required PR review, no direct pushes) — enable once both branches exist.</t>
        </is>
      </c>
    </row>
    <row r="29" ht="36" customHeight="1">
      <c r="B29" s="32" t="inlineStr">
        <is>
          <t>•</t>
        </is>
      </c>
      <c r="C29" s="33" t="inlineStr">
        <is>
          <t>A8 caveat: RoutingRule.match/.route/.sla are bare dicts today. B1 will likely tighten them into real models — keep A8's handoff code thin around those three fields to avoid rework.</t>
        </is>
      </c>
    </row>
  </sheetData>
  <mergeCells count="5">
    <mergeCell ref="B13:C13"/>
    <mergeCell ref="B2:C2"/>
    <mergeCell ref="B20:C20"/>
    <mergeCell ref="B26:C26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2026-09-01T08:36:51Z</dcterms:created>
  <dcterms:modified xsi:type="dcterms:W3CDTF">2026-09-01T09:34:33Z</dcterms:modified>
</cp:coreProperties>
</file>